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_turboli_studenti_unina_it/Documents/Università/MAGISTRALE/DD/R&amp;D/"/>
    </mc:Choice>
  </mc:AlternateContent>
  <xr:revisionPtr revIDLastSave="71" documentId="13_ncr:1_{3C76166F-C52D-4626-94A9-087E56FAF8F5}" xr6:coauthVersionLast="47" xr6:coauthVersionMax="47" xr10:uidLastSave="{3234D7E9-73A0-43D2-9D77-6CEF0A82F2CA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13" i="1"/>
  <c r="H14" i="1"/>
  <c r="H17" i="1"/>
  <c r="H25" i="1"/>
  <c r="H39" i="1"/>
  <c r="H42" i="1"/>
  <c r="I45" i="1"/>
  <c r="H45" i="1" l="1"/>
</calcChain>
</file>

<file path=xl/sharedStrings.xml><?xml version="1.0" encoding="utf-8"?>
<sst xmlns="http://schemas.openxmlformats.org/spreadsheetml/2006/main" count="224" uniqueCount="158">
  <si>
    <t>2175 Salk Avenue</t>
  </si>
  <si>
    <t>Suite 200</t>
  </si>
  <si>
    <t>Carlsbad, CA 92008</t>
  </si>
  <si>
    <t>USA</t>
  </si>
  <si>
    <t>Designator</t>
  </si>
  <si>
    <t>Manufacture</t>
  </si>
  <si>
    <t>Manufacture Part Number</t>
  </si>
  <si>
    <t>Supplier</t>
  </si>
  <si>
    <t>Supplier Part Number</t>
  </si>
  <si>
    <t>Supplier Unit Price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</si>
  <si>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</si>
  <si>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</si>
  <si>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</si>
  <si>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</si>
  <si>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</si>
  <si>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</si>
  <si>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B1</t>
  </si>
  <si>
    <t>TME</t>
  </si>
  <si>
    <t>GRM31CR71H475KA12L</t>
  </si>
  <si>
    <t>Murata</t>
  </si>
  <si>
    <t>EEUFR1V471B</t>
  </si>
  <si>
    <t>TDK</t>
  </si>
  <si>
    <t>JRG1V151M03500800115000B</t>
  </si>
  <si>
    <t>C14</t>
  </si>
  <si>
    <t>C16</t>
  </si>
  <si>
    <t>C20</t>
  </si>
  <si>
    <t>STPS3L60Q</t>
  </si>
  <si>
    <t>CR1</t>
  </si>
  <si>
    <t>D1</t>
  </si>
  <si>
    <t>D2</t>
  </si>
  <si>
    <t>D3</t>
  </si>
  <si>
    <t>D4</t>
  </si>
  <si>
    <t>F1</t>
  </si>
  <si>
    <t>Bel Fuse</t>
  </si>
  <si>
    <t>Phoenix Contact</t>
  </si>
  <si>
    <t>L1</t>
  </si>
  <si>
    <t>LED1</t>
  </si>
  <si>
    <t>Q1</t>
  </si>
  <si>
    <t>Infineon</t>
  </si>
  <si>
    <t>IRFB7545PBF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</si>
  <si>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</si>
  <si>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</si>
  <si>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</si>
  <si>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</si>
  <si>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</si>
  <si>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</si>
  <si>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</si>
  <si>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</si>
  <si>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</si>
  <si>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</si>
  <si>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R15</t>
  </si>
  <si>
    <t>Keystone</t>
  </si>
  <si>
    <t>U1</t>
  </si>
  <si>
    <t>Z1</t>
  </si>
  <si>
    <t>Panasonic</t>
  </si>
  <si>
    <t>Jb Capacitors</t>
  </si>
  <si>
    <t>JRG-150U/35</t>
  </si>
  <si>
    <t>https://www.tme.eu/en/details/jrg-150u_35/tht-electrolytic-capacitors/jb-capacitors/jrg1v151m03500800115000b/</t>
  </si>
  <si>
    <t>ECEA1VKS100</t>
  </si>
  <si>
    <t>STMicroelectronics</t>
  </si>
  <si>
    <t>PanJit Semiconductor</t>
  </si>
  <si>
    <t>C1T-5</t>
  </si>
  <si>
    <t>MKDSN1.5/2-5.08</t>
  </si>
  <si>
    <t>https://www.tme.eu/en/details/mkdsn1.5_2-5.08/pcb-terminal-blocks/phoenix-contact/1729128/</t>
  </si>
  <si>
    <t>Foryard</t>
  </si>
  <si>
    <t>https://www.tme.eu/en/details/irfb7545pbf/tht-n-channel-transistors/infineon-technologies/</t>
  </si>
  <si>
    <t>Diotec Semiconductor</t>
  </si>
  <si>
    <t>Supplier Part Link</t>
  </si>
  <si>
    <t>UC3843BD1013TR</t>
  </si>
  <si>
    <t>https://www.tme.eu/en/details/uc3843bd1013tr/voltage-regulators-pwm-circuits/stmicroelectronics/</t>
  </si>
  <si>
    <t>https://www.tme.eu/en/details/grm31cr71h475ka12l/mlcc-smd-capacitors/murata/</t>
  </si>
  <si>
    <t>https://www.tme.eu/en/details/eeufr1v471b/tht-electrolytic-capacitors/panasonic/</t>
  </si>
  <si>
    <t>https://www.tme.eu/en/details/ecea1vks100/tht-electrolytic-capacitors/panasonic/</t>
  </si>
  <si>
    <t>1206B102K202CT</t>
  </si>
  <si>
    <t>1206B102K202</t>
  </si>
  <si>
    <t>https://www.tme.eu/en/details/1206b102k202/mlcc-smd-capacitors/walsin/1206b102k202ct/</t>
  </si>
  <si>
    <t>WALSIN</t>
  </si>
  <si>
    <t>https://www.tme.eu/en/details/cl31b104kbcnnnc/mlcc-smd-capacitors/samsung/</t>
  </si>
  <si>
    <t>CL31B104KBCNNNC</t>
  </si>
  <si>
    <t>SAMSUNG</t>
  </si>
  <si>
    <t>https://www.tme.eu/en/details/stps3l60q/tht-schottky-diodes/stmicroelectronics/</t>
  </si>
  <si>
    <t>SB840</t>
  </si>
  <si>
    <t>SB840-DIO</t>
  </si>
  <si>
    <t xml:space="preserve">	DIOTEC SEMICONDUCTOR</t>
  </si>
  <si>
    <t>https://www.tme.eu/en/details/sb840-dio/tht-schottky-diodes/diotec-semiconductor/sb840/</t>
  </si>
  <si>
    <t>304BD2J-B4-2B</t>
  </si>
  <si>
    <t>LL-304BD2J-B4-2B</t>
  </si>
  <si>
    <t>LUCKYLIGHT</t>
  </si>
  <si>
    <t>https://www.tme.eu/en/details/ll-304bd2j-b4-2b/tht-leds-round/luckylight/304bd2j-b4-2b/</t>
  </si>
  <si>
    <t>https://www.mouser.it/ProductDetail/Panjit/BAS316_R1_00001?qs=sPbYRqrBIVmAZ4ZSduePLg%3D%3D</t>
  </si>
  <si>
    <t>Mouser</t>
  </si>
  <si>
    <t xml:space="preserve">241-BAS316_R1_00001 </t>
  </si>
  <si>
    <t xml:space="preserve">BAS316_R1_00001 </t>
  </si>
  <si>
    <t>0685F6000-01</t>
  </si>
  <si>
    <t>https://www.tme.eu/en/details/c1f-6/1206-smd-fuses-fast/bel-fuse/0685f6000-01/</t>
  </si>
  <si>
    <t xml:space="preserve">871-B65877A0000R095 </t>
  </si>
  <si>
    <t xml:space="preserve"> B65877A0000R095 </t>
  </si>
  <si>
    <t>https://www.mouser.pl/ProductDetail/TDK/B65877A0000R095?qs=%2FsLciWRBLmClwV4EYlVgoQ%3D%3D&amp;srsltid=AfmBOoqDhKP-K7luvdSVZzI9iGQBA6K3yqlQlPJtxAjvp5yijC3IgP9k</t>
  </si>
  <si>
    <t>FYL-3014SRT1A</t>
  </si>
  <si>
    <t>https://www.tme.eu/en/details/fyl-3014srt1a/tht-leds-round/foryard/</t>
  </si>
  <si>
    <t>https://www.tme.eu/en/details/cf1_2w-0r/tht-resistors/sr-passives/</t>
  </si>
  <si>
    <t>CF1/2W-0R</t>
  </si>
  <si>
    <t xml:space="preserve">SR PASSIVES </t>
  </si>
  <si>
    <t>WR12X1002FTL</t>
  </si>
  <si>
    <t>https://www.tme.eu/en/details/wr12x1002ftl/smd-resistors/walsin/</t>
  </si>
  <si>
    <t>1206S4F1802T5E</t>
  </si>
  <si>
    <t>SMD1206-18K-1%</t>
  </si>
  <si>
    <t>https://www.tme.eu/en/details/smd1206-18k-1%25/smd-resistors/royalohm/1206s4f1802t5e/</t>
  </si>
  <si>
    <t>https://www.tme.eu/en/details/smd1206-1k8-1%25/smd-resistors/royalohm/1206s4f1801t5e/</t>
  </si>
  <si>
    <t>SMD1206-1K8-1%</t>
  </si>
  <si>
    <t>1206S4F1801T5E</t>
  </si>
  <si>
    <t>ROYALOHM</t>
  </si>
  <si>
    <t>WR12X10R0FGL</t>
  </si>
  <si>
    <t xml:space="preserve"> WALSIN </t>
  </si>
  <si>
    <t>https://www.tme.eu/en/details/wr12x10r0fgl/smd-resistors/walsin/</t>
  </si>
  <si>
    <t>1206S4F1001T5E</t>
  </si>
  <si>
    <t>SMD1206-1K-1%</t>
  </si>
  <si>
    <t>https://www.tme.eu/en/details/smd1206-1k-1%25/smd-resistors/royalohm/1206s4f1001t5e/</t>
  </si>
  <si>
    <t>https://www.tme.eu/en/details/mr12x68r0ftl/smd-resistors/walsin/</t>
  </si>
  <si>
    <t>MR12X68R0FTL</t>
  </si>
  <si>
    <t>WR12X2201FTL</t>
  </si>
  <si>
    <t xml:space="preserve">WALSIN </t>
  </si>
  <si>
    <t>https://www.tme.eu/en/details/wr12x2201ftl/smd-resistors/walsin/</t>
  </si>
  <si>
    <t>https://www.tme.eu/en/details/wr12x2702ftl/smd-resistors/walsin/</t>
  </si>
  <si>
    <t>WR12X2702FTL</t>
  </si>
  <si>
    <t>Viking</t>
  </si>
  <si>
    <t>WR12X6801FTL</t>
  </si>
  <si>
    <t>https://www.tme.eu/en/details/wr12x6801ftl/smd-resistors/walsin/</t>
  </si>
  <si>
    <t xml:space="preserve">534-5003 </t>
  </si>
  <si>
    <t>https://www.mouser.pl/ProductDetail/Keystone-Electronics/5003?qs=q0tsjPZWdm%252BIpomQOixYPg%3D%3D</t>
  </si>
  <si>
    <t>C1-C4, C7-C10, C13, C15</t>
  </si>
  <si>
    <t>C5, C6, C11, C12</t>
  </si>
  <si>
    <t>C17, C18, C19</t>
  </si>
  <si>
    <t>J1, J2</t>
  </si>
  <si>
    <t>R11, R12</t>
  </si>
  <si>
    <t>TP1-TP8</t>
  </si>
  <si>
    <t>https://www.tme.eu/en/details/bc817-25-dio/npn-smd-transistors/diotec-semiconductor/bc817-25/</t>
  </si>
  <si>
    <t>BC817-25-DIO</t>
  </si>
  <si>
    <t>BC817-25</t>
  </si>
  <si>
    <t xml:space="preserve">637-BZX84C27 </t>
  </si>
  <si>
    <t>BZX84C27</t>
  </si>
  <si>
    <t>https://www.mouser.pl/ProductDetail/Diotec-Semiconductor/BZX84C27?qs=OlC7AqGiEDlthpmU6WyOZw%3D%3D</t>
  </si>
  <si>
    <t>Notes:</t>
  </si>
  <si>
    <t>R13, R14</t>
  </si>
  <si>
    <t>Politechnika Łódzka</t>
  </si>
  <si>
    <t>Supervisor: Rafał Kasikowski</t>
  </si>
  <si>
    <t>Approved:</t>
  </si>
  <si>
    <t>Domenico Fiorinelli</t>
  </si>
  <si>
    <t>Raffaele Strocchia</t>
  </si>
  <si>
    <t>Salvatore Turboli</t>
  </si>
  <si>
    <t>Date:</t>
  </si>
  <si>
    <t xml:space="preserve">511-X0205MA </t>
  </si>
  <si>
    <t xml:space="preserve">X0205MA 1BA2 </t>
  </si>
  <si>
    <t>https://www.mouser.pl/ProductDetail/STMicroelectronics/X0205MA-1BA2?qs=rbJCU8ygG7CkfsITI88o%2Fw%3D%3D&amp;srsltid=AfmBOop3Sfn3XVxQ8ehY4ign_AsDPRRZXNYwZ1ofquZwgxzNU6jm0Gha</t>
  </si>
  <si>
    <t>CS12FTFSR270</t>
  </si>
  <si>
    <t>CS2512-0R27-1%-HP</t>
  </si>
  <si>
    <t>https://www.tme.eu/pl/en/details/cs2512-0r27-1%25-hp/smd-resistors/viking/cs12ftfsr270/</t>
  </si>
  <si>
    <t>Bill of Materials - R&amp;D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</si>
</sst>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7">
    <font>
      <sz val="11"/>
      <color theme="1"/>
      <name val="Calibri"/>
    </font>
    <font>
      <sz val="10"/>
      <name val="Arial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</font>
    <font>
      <strike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3285927915285"/>
        <bgColor indexed="65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2" borderId="12" xfId="0" applyFont="1" applyFill="1" applyBorder="1"/>
    <xf numFmtId="0" fontId="2" fillId="2" borderId="12" xfId="0" applyFont="1" applyFill="1" applyBorder="1" applyAlignment="1">
      <alignment horizontal="center"/>
    </xf>
    <xf numFmtId="0" fontId="2" fillId="0" borderId="12" xfId="0" applyFont="1" applyBorder="1" applyAlignment="1">
      <alignment vertical="center" wrapText="1"/>
    </xf>
    <xf numFmtId="0" fontId="3" fillId="0" borderId="3" xfId="0" applyFont="1" applyBorder="1"/>
    <xf numFmtId="0" fontId="5" fillId="0" borderId="2" xfId="0" applyFont="1" applyBorder="1"/>
    <xf numFmtId="0" fontId="5" fillId="0" borderId="1" xfId="0" applyFont="1" applyBorder="1"/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right"/>
    </xf>
    <xf numFmtId="14" fontId="0" fillId="0" borderId="10" xfId="0" applyNumberForma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14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3" xfId="0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0" fontId="3" fillId="0" borderId="10" xfId="0" applyFont="1" applyBorder="1"/>
    <xf numFmtId="0" fontId="5" fillId="0" borderId="10" xfId="0" applyFont="1" applyBorder="1"/>
    <xf numFmtId="0" fontId="5" fillId="0" borderId="3" xfId="0" applyFont="1" applyBorder="1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6" fillId="0" borderId="3" xfId="0" applyFont="1" applyBorder="1"/>
    <xf numFmtId="0" fontId="0" fillId="0" borderId="0" xfId="0" applyBorder="1"/>
    <xf numFmtId="0" fontId="0" fillId="0" borderId="5" xfId="0" applyBorder="1"/>
    <xf numFmtId="0" fontId="3" fillId="0" borderId="11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5" fillId="0" borderId="9" xfId="0" applyFont="1" applyBorder="1"/>
  </cellXfs>
  <cellStyles count="2">
    <cellStyle name="Normal 2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</xdr:row>
      <xdr:rowOff>95250</xdr:rowOff>
    </xdr:from>
    <xdr:to>
      <xdr:col>8</xdr:col>
      <xdr:colOff>206150</xdr:colOff>
      <xdr:row>3</xdr:row>
      <xdr:rowOff>7470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showGridLines="0" tabSelected="1" zoomScale="55" zoomScaleNormal="55" workbookViewId="0">
      <selection activeCell="E7" sqref="E7"/>
    </sheetView>
  </sheetViews>
  <sheetFormatPr defaultRowHeight="14.5"/>
  <cols>
    <col min="2" max="2" width="19.90625" customWidth="1"/>
    <col min="3" max="3" width="27.81640625" bestFit="1" customWidth="1"/>
    <col min="4" max="4" width="21.453125" customWidth="1"/>
    <col min="5" max="5" width="10.453125" bestFit="1" customWidth="1"/>
    <col min="6" max="6" width="17.7265625" bestFit="1" customWidth="1"/>
    <col min="7" max="7" width="66.7265625" bestFit="1" customWidth="1"/>
    <col min="8" max="8" width="16.81640625" bestFit="1" customWidth="1"/>
    <col min="9" max="9" width="8.7265625" style="6" customWidth="1"/>
  </cols>
  <sheetData>
    <row r="1" spans="2:9" ht="15" thickBot="1"/>
    <row r="2" spans="2:9">
      <c r="B2" s="4"/>
      <c r="C2" s="10"/>
      <c r="D2" s="10"/>
      <c r="E2" s="10"/>
      <c r="F2" s="10"/>
      <c r="G2" s="10"/>
      <c r="H2" s="10"/>
      <c r="I2" s="7"/>
    </row>
    <row r="3" spans="2:9">
      <c r="B3" s="3"/>
      <c r="C3" s="16" t="s">
        <v>157</v>
      </c>
      <c r="D3" s="2"/>
      <c r="E3" s="41"/>
      <c r="F3" s="41"/>
      <c r="G3" s="41"/>
      <c r="H3" s="41" t="s">
        <v>0</v>
      </c>
      <c r="I3" s="8"/>
    </row>
    <row r="4" spans="2:9">
      <c r="B4" s="3"/>
      <c r="C4" s="17" t="s">
        <v>144</v>
      </c>
      <c r="D4" s="1"/>
      <c r="E4" s="41"/>
      <c r="F4" s="41"/>
      <c r="G4" s="41"/>
      <c r="H4" s="41" t="s">
        <v>1</v>
      </c>
      <c r="I4" s="8"/>
    </row>
    <row r="5" spans="2:9">
      <c r="B5" s="3"/>
      <c r="C5" s="17" t="s">
        <v>145</v>
      </c>
      <c r="D5" s="1"/>
      <c r="E5" s="41"/>
      <c r="F5" s="41"/>
      <c r="G5" s="41"/>
      <c r="H5" s="41" t="s">
        <v>2</v>
      </c>
      <c r="I5" s="8"/>
    </row>
    <row r="6" spans="2:9">
      <c r="B6" s="3"/>
      <c r="C6" s="41"/>
      <c r="D6" s="41"/>
      <c r="E6" s="41"/>
      <c r="F6" s="41"/>
      <c r="G6" s="41"/>
      <c r="H6" s="41" t="s">
        <v>3</v>
      </c>
      <c r="I6" s="8"/>
    </row>
    <row r="7" spans="2:9">
      <c r="B7" s="3"/>
      <c r="C7" s="41"/>
      <c r="D7" s="41"/>
      <c r="E7" s="41"/>
      <c r="F7" s="41"/>
      <c r="G7" s="41"/>
      <c r="H7" s="41"/>
      <c r="I7" s="8"/>
    </row>
    <row r="8" spans="2:9">
      <c r="B8" s="15"/>
      <c r="C8" s="41"/>
      <c r="D8" s="41"/>
      <c r="E8" s="41"/>
      <c r="F8" s="41"/>
      <c r="G8" s="41"/>
      <c r="H8" s="41"/>
      <c r="I8" s="8"/>
    </row>
    <row r="9" spans="2:9">
      <c r="B9" s="15"/>
      <c r="C9" s="41"/>
      <c r="D9" s="41"/>
      <c r="E9" s="41"/>
      <c r="F9" s="41"/>
      <c r="G9" s="41"/>
      <c r="H9" s="41"/>
      <c r="I9" s="8"/>
    </row>
    <row r="10" spans="2:9">
      <c r="B10" s="20" t="s">
        <v>4</v>
      </c>
      <c r="C10" s="13" t="s">
        <v>5</v>
      </c>
      <c r="D10" s="13" t="s">
        <v>6</v>
      </c>
      <c r="E10" s="13" t="s">
        <v>7</v>
      </c>
      <c r="F10" s="13" t="s">
        <v>8</v>
      </c>
      <c r="G10" s="13" t="s">
        <v>67</v>
      </c>
      <c r="H10" s="13" t="s">
        <v>9</v>
      </c>
      <c r="I10" s="21" t="s">
        <v>10</v>
      </c>
    </row>
    <row r="11" spans="2:9" hidden="1">
      <c r="B11" s="20" t="s">
        <v>4</v>
      </c>
      <c r="C11" s="12" t="s">
        <v>11</v>
      </c>
      <c r="D11" s="12" t="s">
        <v>12</v>
      </c>
      <c r="E11" s="12" t="s">
        <v>13</v>
      </c>
      <c r="F11" s="12" t="s">
        <v>14</v>
      </c>
      <c r="G11" s="12"/>
      <c r="H11" s="12" t="s">
        <v>15</v>
      </c>
      <c r="I11" s="21" t="s">
        <v>10</v>
      </c>
    </row>
    <row r="12" spans="2:9" s="5" customFormat="1" ht="30" customHeight="1">
      <c r="B12" s="22" t="s">
        <v>16</v>
      </c>
      <c r="C12" s="18" t="s">
        <v>59</v>
      </c>
      <c r="D12" s="18" t="s">
        <v>68</v>
      </c>
      <c r="E12" s="18" t="s">
        <v>17</v>
      </c>
      <c r="F12" s="18" t="s">
        <v>68</v>
      </c>
      <c r="G12" s="14" t="s">
        <v>69</v>
      </c>
      <c r="H12" s="19">
        <v>0.74099999999999999</v>
      </c>
      <c r="I12" s="23">
        <v>1</v>
      </c>
    </row>
    <row r="13" spans="2:9" s="5" customFormat="1" ht="30" customHeight="1">
      <c r="B13" s="22" t="s">
        <v>130</v>
      </c>
      <c r="C13" s="18" t="s">
        <v>19</v>
      </c>
      <c r="D13" s="18" t="s">
        <v>18</v>
      </c>
      <c r="E13" s="18" t="s">
        <v>17</v>
      </c>
      <c r="F13" s="18" t="s">
        <v>18</v>
      </c>
      <c r="G13" s="14" t="s">
        <v>70</v>
      </c>
      <c r="H13" s="19">
        <f>1*I13</f>
        <v>10</v>
      </c>
      <c r="I13" s="23">
        <v>10</v>
      </c>
    </row>
    <row r="14" spans="2:9" s="5" customFormat="1" ht="30" customHeight="1">
      <c r="B14" s="22" t="s">
        <v>131</v>
      </c>
      <c r="C14" s="18" t="s">
        <v>54</v>
      </c>
      <c r="D14" s="18" t="s">
        <v>20</v>
      </c>
      <c r="E14" s="18" t="s">
        <v>17</v>
      </c>
      <c r="F14" s="18" t="s">
        <v>20</v>
      </c>
      <c r="G14" s="14" t="s">
        <v>71</v>
      </c>
      <c r="H14" s="19">
        <f>1.041*I14</f>
        <v>4.1639999999999997</v>
      </c>
      <c r="I14" s="23">
        <v>4</v>
      </c>
    </row>
    <row r="15" spans="2:9" s="5" customFormat="1" ht="30" customHeight="1">
      <c r="B15" s="22" t="s">
        <v>23</v>
      </c>
      <c r="C15" s="18" t="s">
        <v>55</v>
      </c>
      <c r="D15" s="18" t="s">
        <v>22</v>
      </c>
      <c r="E15" s="18" t="s">
        <v>17</v>
      </c>
      <c r="F15" s="18" t="s">
        <v>56</v>
      </c>
      <c r="G15" s="14" t="s">
        <v>57</v>
      </c>
      <c r="H15" s="19">
        <v>0.06</v>
      </c>
      <c r="I15" s="23">
        <v>1</v>
      </c>
    </row>
    <row r="16" spans="2:9" s="5" customFormat="1" ht="30" customHeight="1">
      <c r="B16" s="22" t="s">
        <v>24</v>
      </c>
      <c r="C16" s="18" t="s">
        <v>54</v>
      </c>
      <c r="D16" s="18" t="s">
        <v>58</v>
      </c>
      <c r="E16" s="18" t="s">
        <v>17</v>
      </c>
      <c r="F16" s="18" t="s">
        <v>58</v>
      </c>
      <c r="G16" s="14" t="s">
        <v>72</v>
      </c>
      <c r="H16" s="19">
        <v>0.27</v>
      </c>
      <c r="I16" s="23">
        <v>1</v>
      </c>
    </row>
    <row r="17" spans="2:9" s="5" customFormat="1" ht="30" customHeight="1">
      <c r="B17" s="22" t="s">
        <v>132</v>
      </c>
      <c r="C17" s="18" t="s">
        <v>76</v>
      </c>
      <c r="D17" s="18" t="s">
        <v>73</v>
      </c>
      <c r="E17" s="18" t="s">
        <v>17</v>
      </c>
      <c r="F17" s="18" t="s">
        <v>74</v>
      </c>
      <c r="G17" s="14" t="s">
        <v>75</v>
      </c>
      <c r="H17" s="19">
        <f>0.109*I17</f>
        <v>0.32700000000000001</v>
      </c>
      <c r="I17" s="23">
        <v>3</v>
      </c>
    </row>
    <row r="18" spans="2:9" s="5" customFormat="1" ht="30" customHeight="1">
      <c r="B18" s="22" t="s">
        <v>25</v>
      </c>
      <c r="C18" s="18" t="s">
        <v>79</v>
      </c>
      <c r="D18" s="18" t="s">
        <v>78</v>
      </c>
      <c r="E18" s="18" t="s">
        <v>17</v>
      </c>
      <c r="F18" s="18" t="s">
        <v>78</v>
      </c>
      <c r="G18" s="14" t="s">
        <v>77</v>
      </c>
      <c r="H18" s="19">
        <v>0.1053</v>
      </c>
      <c r="I18" s="23">
        <v>1</v>
      </c>
    </row>
    <row r="19" spans="2:9" s="5" customFormat="1" ht="30" customHeight="1">
      <c r="B19" s="22" t="s">
        <v>27</v>
      </c>
      <c r="C19" s="18" t="s">
        <v>59</v>
      </c>
      <c r="D19" s="18" t="s">
        <v>26</v>
      </c>
      <c r="E19" s="18" t="s">
        <v>17</v>
      </c>
      <c r="F19" s="18" t="s">
        <v>26</v>
      </c>
      <c r="G19" s="14" t="s">
        <v>80</v>
      </c>
      <c r="H19" s="19">
        <v>0.37</v>
      </c>
      <c r="I19" s="23">
        <v>1</v>
      </c>
    </row>
    <row r="20" spans="2:9" s="5" customFormat="1" ht="30" customHeight="1">
      <c r="B20" s="22" t="s">
        <v>28</v>
      </c>
      <c r="C20" s="18" t="s">
        <v>83</v>
      </c>
      <c r="D20" s="18" t="s">
        <v>81</v>
      </c>
      <c r="E20" s="18" t="s">
        <v>17</v>
      </c>
      <c r="F20" s="18" t="s">
        <v>82</v>
      </c>
      <c r="G20" s="14" t="s">
        <v>84</v>
      </c>
      <c r="H20" s="19">
        <v>0.377</v>
      </c>
      <c r="I20" s="23">
        <v>1</v>
      </c>
    </row>
    <row r="21" spans="2:9" s="5" customFormat="1" ht="30" customHeight="1">
      <c r="B21" s="22" t="s">
        <v>29</v>
      </c>
      <c r="C21" s="18" t="s">
        <v>87</v>
      </c>
      <c r="D21" s="18" t="s">
        <v>85</v>
      </c>
      <c r="E21" s="18" t="s">
        <v>17</v>
      </c>
      <c r="F21" s="18" t="s">
        <v>86</v>
      </c>
      <c r="G21" s="14" t="s">
        <v>88</v>
      </c>
      <c r="H21" s="19">
        <v>0.49990000000000001</v>
      </c>
      <c r="I21" s="23">
        <v>1</v>
      </c>
    </row>
    <row r="22" spans="2:9" s="5" customFormat="1" ht="30" customHeight="1">
      <c r="B22" s="22" t="s">
        <v>30</v>
      </c>
      <c r="C22" s="18" t="s">
        <v>60</v>
      </c>
      <c r="D22" s="18" t="s">
        <v>92</v>
      </c>
      <c r="E22" s="18" t="s">
        <v>90</v>
      </c>
      <c r="F22" s="18" t="s">
        <v>91</v>
      </c>
      <c r="G22" s="14" t="s">
        <v>89</v>
      </c>
      <c r="H22" s="19">
        <v>0.36099999999999999</v>
      </c>
      <c r="I22" s="23">
        <v>1</v>
      </c>
    </row>
    <row r="23" spans="2:9" s="5" customFormat="1" ht="30" customHeight="1">
      <c r="B23" s="22" t="s">
        <v>31</v>
      </c>
      <c r="C23" s="18" t="s">
        <v>59</v>
      </c>
      <c r="D23" s="18" t="s">
        <v>152</v>
      </c>
      <c r="E23" s="18" t="s">
        <v>90</v>
      </c>
      <c r="F23" s="18" t="s">
        <v>151</v>
      </c>
      <c r="G23" s="14" t="s">
        <v>153</v>
      </c>
      <c r="H23" s="19">
        <v>2.35</v>
      </c>
      <c r="I23" s="23">
        <v>1</v>
      </c>
    </row>
    <row r="24" spans="2:9" s="5" customFormat="1" ht="30" customHeight="1">
      <c r="B24" s="22" t="s">
        <v>32</v>
      </c>
      <c r="C24" s="18" t="s">
        <v>33</v>
      </c>
      <c r="D24" s="18" t="s">
        <v>93</v>
      </c>
      <c r="E24" s="18" t="s">
        <v>17</v>
      </c>
      <c r="F24" s="18" t="s">
        <v>61</v>
      </c>
      <c r="G24" s="14" t="s">
        <v>94</v>
      </c>
      <c r="H24" s="19">
        <v>0.42399999999999999</v>
      </c>
      <c r="I24" s="23">
        <v>1</v>
      </c>
    </row>
    <row r="25" spans="2:9" s="5" customFormat="1" ht="30" customHeight="1">
      <c r="B25" s="22" t="s">
        <v>133</v>
      </c>
      <c r="C25" s="18" t="s">
        <v>34</v>
      </c>
      <c r="D25" s="18">
        <v>1729128</v>
      </c>
      <c r="E25" s="18" t="s">
        <v>17</v>
      </c>
      <c r="F25" s="18" t="s">
        <v>62</v>
      </c>
      <c r="G25" s="14" t="s">
        <v>63</v>
      </c>
      <c r="H25" s="19">
        <f>0.796*I25</f>
        <v>1.5920000000000001</v>
      </c>
      <c r="I25" s="23">
        <v>2</v>
      </c>
    </row>
    <row r="26" spans="2:9" s="5" customFormat="1" ht="30" customHeight="1">
      <c r="B26" s="22" t="s">
        <v>35</v>
      </c>
      <c r="C26" s="18" t="s">
        <v>21</v>
      </c>
      <c r="D26" s="18" t="s">
        <v>96</v>
      </c>
      <c r="E26" s="18" t="s">
        <v>90</v>
      </c>
      <c r="F26" s="18" t="s">
        <v>95</v>
      </c>
      <c r="G26" s="14" t="s">
        <v>97</v>
      </c>
      <c r="H26" s="19">
        <v>26.54</v>
      </c>
      <c r="I26" s="23">
        <v>1</v>
      </c>
    </row>
    <row r="27" spans="2:9" s="5" customFormat="1" ht="30" customHeight="1">
      <c r="B27" s="22" t="s">
        <v>36</v>
      </c>
      <c r="C27" s="18" t="s">
        <v>64</v>
      </c>
      <c r="D27" s="18" t="s">
        <v>98</v>
      </c>
      <c r="E27" s="18" t="s">
        <v>17</v>
      </c>
      <c r="F27" s="18" t="s">
        <v>98</v>
      </c>
      <c r="G27" s="14" t="s">
        <v>99</v>
      </c>
      <c r="H27" s="19">
        <v>0.30399999999999999</v>
      </c>
      <c r="I27" s="23">
        <v>1</v>
      </c>
    </row>
    <row r="28" spans="2:9" s="5" customFormat="1" ht="30" customHeight="1">
      <c r="B28" s="22" t="s">
        <v>37</v>
      </c>
      <c r="C28" s="18" t="s">
        <v>38</v>
      </c>
      <c r="D28" s="18" t="s">
        <v>39</v>
      </c>
      <c r="E28" s="18" t="s">
        <v>17</v>
      </c>
      <c r="F28" s="18" t="s">
        <v>39</v>
      </c>
      <c r="G28" s="14" t="s">
        <v>65</v>
      </c>
      <c r="H28" s="19">
        <v>0.85099999999999998</v>
      </c>
      <c r="I28" s="23">
        <v>1</v>
      </c>
    </row>
    <row r="29" spans="2:9" s="5" customFormat="1" ht="30" customHeight="1">
      <c r="B29" s="22" t="s">
        <v>40</v>
      </c>
      <c r="C29" s="18" t="s">
        <v>102</v>
      </c>
      <c r="D29" s="18" t="s">
        <v>101</v>
      </c>
      <c r="E29" s="18" t="s">
        <v>17</v>
      </c>
      <c r="F29" s="18" t="s">
        <v>101</v>
      </c>
      <c r="G29" s="14" t="s">
        <v>100</v>
      </c>
      <c r="H29" s="19">
        <v>1.2999999999999999E-2</v>
      </c>
      <c r="I29" s="23">
        <v>1</v>
      </c>
    </row>
    <row r="30" spans="2:9" s="5" customFormat="1" ht="30" customHeight="1">
      <c r="B30" s="22" t="s">
        <v>41</v>
      </c>
      <c r="C30" s="18" t="s">
        <v>76</v>
      </c>
      <c r="D30" s="18" t="s">
        <v>120</v>
      </c>
      <c r="E30" s="18" t="s">
        <v>17</v>
      </c>
      <c r="F30" s="18" t="s">
        <v>120</v>
      </c>
      <c r="G30" s="14" t="s">
        <v>122</v>
      </c>
      <c r="H30" s="19">
        <v>8.9789999999999995E-2</v>
      </c>
      <c r="I30" s="23">
        <v>1</v>
      </c>
    </row>
    <row r="31" spans="2:9" s="5" customFormat="1" ht="30" customHeight="1">
      <c r="B31" s="22" t="s">
        <v>42</v>
      </c>
      <c r="C31" s="18" t="s">
        <v>111</v>
      </c>
      <c r="D31" s="18" t="s">
        <v>105</v>
      </c>
      <c r="E31" s="18" t="s">
        <v>17</v>
      </c>
      <c r="F31" s="18" t="s">
        <v>106</v>
      </c>
      <c r="G31" s="14" t="s">
        <v>107</v>
      </c>
      <c r="H31" s="19">
        <v>2.0150000000000001E-2</v>
      </c>
      <c r="I31" s="23">
        <v>1</v>
      </c>
    </row>
    <row r="32" spans="2:9" s="5" customFormat="1" ht="30" customHeight="1">
      <c r="B32" s="22" t="s">
        <v>43</v>
      </c>
      <c r="C32" s="18" t="s">
        <v>111</v>
      </c>
      <c r="D32" s="18" t="s">
        <v>110</v>
      </c>
      <c r="E32" s="18" t="s">
        <v>17</v>
      </c>
      <c r="F32" s="18" t="s">
        <v>109</v>
      </c>
      <c r="G32" s="14" t="s">
        <v>108</v>
      </c>
      <c r="H32" s="19">
        <v>5.3870000000000001E-2</v>
      </c>
      <c r="I32" s="23">
        <v>1</v>
      </c>
    </row>
    <row r="33" spans="2:9" s="5" customFormat="1" ht="30" customHeight="1">
      <c r="B33" s="22" t="s">
        <v>44</v>
      </c>
      <c r="C33" s="18" t="s">
        <v>113</v>
      </c>
      <c r="D33" s="18" t="s">
        <v>112</v>
      </c>
      <c r="E33" s="18" t="s">
        <v>17</v>
      </c>
      <c r="F33" s="18" t="s">
        <v>112</v>
      </c>
      <c r="G33" s="14" t="s">
        <v>114</v>
      </c>
      <c r="H33" s="19">
        <v>5.3870000000000001E-2</v>
      </c>
      <c r="I33" s="23">
        <v>1</v>
      </c>
    </row>
    <row r="34" spans="2:9" s="5" customFormat="1" ht="30" customHeight="1">
      <c r="B34" s="22" t="s">
        <v>45</v>
      </c>
      <c r="C34" s="18" t="s">
        <v>113</v>
      </c>
      <c r="D34" s="18" t="s">
        <v>103</v>
      </c>
      <c r="E34" s="18" t="s">
        <v>17</v>
      </c>
      <c r="F34" s="18" t="s">
        <v>103</v>
      </c>
      <c r="G34" s="14" t="s">
        <v>104</v>
      </c>
      <c r="H34" s="19">
        <v>8.9789999999999995E-2</v>
      </c>
      <c r="I34" s="23">
        <v>1</v>
      </c>
    </row>
    <row r="35" spans="2:9" s="5" customFormat="1" ht="30" customHeight="1">
      <c r="B35" s="22" t="s">
        <v>46</v>
      </c>
      <c r="C35" s="18" t="s">
        <v>111</v>
      </c>
      <c r="D35" s="18" t="s">
        <v>115</v>
      </c>
      <c r="E35" s="18" t="s">
        <v>17</v>
      </c>
      <c r="F35" s="18" t="s">
        <v>116</v>
      </c>
      <c r="G35" s="14" t="s">
        <v>117</v>
      </c>
      <c r="H35" s="19">
        <v>5.3870000000000001E-2</v>
      </c>
      <c r="I35" s="23">
        <v>1</v>
      </c>
    </row>
    <row r="36" spans="2:9" s="5" customFormat="1" ht="30" customHeight="1">
      <c r="B36" s="22" t="s">
        <v>47</v>
      </c>
      <c r="C36" s="18" t="s">
        <v>113</v>
      </c>
      <c r="D36" s="18" t="s">
        <v>119</v>
      </c>
      <c r="E36" s="18" t="s">
        <v>17</v>
      </c>
      <c r="F36" s="18" t="s">
        <v>119</v>
      </c>
      <c r="G36" s="14" t="s">
        <v>118</v>
      </c>
      <c r="H36" s="19">
        <v>5.3870000000000001E-2</v>
      </c>
      <c r="I36" s="23">
        <v>1</v>
      </c>
    </row>
    <row r="37" spans="2:9" s="5" customFormat="1" ht="30" customHeight="1">
      <c r="B37" s="22" t="s">
        <v>48</v>
      </c>
      <c r="C37" s="18" t="s">
        <v>121</v>
      </c>
      <c r="D37" s="18" t="s">
        <v>120</v>
      </c>
      <c r="E37" s="18" t="s">
        <v>17</v>
      </c>
      <c r="F37" s="18" t="s">
        <v>120</v>
      </c>
      <c r="G37" s="14" t="s">
        <v>122</v>
      </c>
      <c r="H37" s="19">
        <v>5.3870000000000001E-2</v>
      </c>
      <c r="I37" s="23">
        <v>1</v>
      </c>
    </row>
    <row r="38" spans="2:9" s="5" customFormat="1" ht="30" customHeight="1">
      <c r="B38" s="22" t="s">
        <v>49</v>
      </c>
      <c r="C38" s="18" t="s">
        <v>111</v>
      </c>
      <c r="D38" s="18" t="s">
        <v>115</v>
      </c>
      <c r="E38" s="18" t="s">
        <v>17</v>
      </c>
      <c r="F38" s="18" t="s">
        <v>116</v>
      </c>
      <c r="G38" s="14" t="s">
        <v>117</v>
      </c>
      <c r="H38" s="19">
        <v>5.3870000000000001E-2</v>
      </c>
      <c r="I38" s="23">
        <v>1</v>
      </c>
    </row>
    <row r="39" spans="2:9" s="5" customFormat="1" ht="30" customHeight="1">
      <c r="B39" s="22" t="s">
        <v>134</v>
      </c>
      <c r="C39" s="18" t="s">
        <v>76</v>
      </c>
      <c r="D39" s="18" t="s">
        <v>124</v>
      </c>
      <c r="E39" s="18" t="s">
        <v>17</v>
      </c>
      <c r="F39" s="18" t="s">
        <v>124</v>
      </c>
      <c r="G39" s="14" t="s">
        <v>123</v>
      </c>
      <c r="H39" s="19">
        <f>0.0501*I39</f>
        <v>0.1002</v>
      </c>
      <c r="I39" s="23">
        <v>2</v>
      </c>
    </row>
    <row r="40" spans="2:9" s="5" customFormat="1" ht="30" customHeight="1">
      <c r="B40" s="24" t="s">
        <v>143</v>
      </c>
      <c r="C40" s="18" t="s">
        <v>125</v>
      </c>
      <c r="D40" s="18" t="s">
        <v>154</v>
      </c>
      <c r="E40" s="18" t="s">
        <v>17</v>
      </c>
      <c r="F40" s="18" t="s">
        <v>155</v>
      </c>
      <c r="G40" s="14" t="s">
        <v>156</v>
      </c>
      <c r="H40" s="19">
        <f>1.143*I40</f>
        <v>2.286</v>
      </c>
      <c r="I40" s="23">
        <v>2</v>
      </c>
    </row>
    <row r="41" spans="2:9" s="5" customFormat="1" ht="30" customHeight="1">
      <c r="B41" s="22" t="s">
        <v>50</v>
      </c>
      <c r="C41" s="18" t="s">
        <v>76</v>
      </c>
      <c r="D41" s="18" t="s">
        <v>126</v>
      </c>
      <c r="E41" s="18" t="s">
        <v>17</v>
      </c>
      <c r="F41" s="18" t="s">
        <v>126</v>
      </c>
      <c r="G41" s="14" t="s">
        <v>127</v>
      </c>
      <c r="H41" s="19">
        <v>5.3870000000000001E-2</v>
      </c>
      <c r="I41" s="23">
        <v>1</v>
      </c>
    </row>
    <row r="42" spans="2:9" s="5" customFormat="1" ht="30" customHeight="1">
      <c r="B42" s="22" t="s">
        <v>135</v>
      </c>
      <c r="C42" s="18" t="s">
        <v>51</v>
      </c>
      <c r="D42" s="18">
        <v>5003</v>
      </c>
      <c r="E42" s="18" t="s">
        <v>90</v>
      </c>
      <c r="F42" s="18" t="s">
        <v>128</v>
      </c>
      <c r="G42" s="14" t="s">
        <v>129</v>
      </c>
      <c r="H42" s="19">
        <f>1.32*I42</f>
        <v>10.56</v>
      </c>
      <c r="I42" s="23">
        <v>8</v>
      </c>
    </row>
    <row r="43" spans="2:9" s="5" customFormat="1" ht="30" customHeight="1">
      <c r="B43" s="22" t="s">
        <v>52</v>
      </c>
      <c r="C43" s="18" t="s">
        <v>66</v>
      </c>
      <c r="D43" s="18" t="s">
        <v>138</v>
      </c>
      <c r="E43" s="18" t="s">
        <v>17</v>
      </c>
      <c r="F43" s="18" t="s">
        <v>137</v>
      </c>
      <c r="G43" s="14" t="s">
        <v>136</v>
      </c>
      <c r="H43" s="19">
        <v>0.11459999999999999</v>
      </c>
      <c r="I43" s="23">
        <v>1</v>
      </c>
    </row>
    <row r="44" spans="2:9" s="5" customFormat="1" ht="30" customHeight="1">
      <c r="B44" s="22" t="s">
        <v>53</v>
      </c>
      <c r="C44" s="18" t="s">
        <v>66</v>
      </c>
      <c r="D44" s="18" t="s">
        <v>140</v>
      </c>
      <c r="E44" s="18" t="s">
        <v>90</v>
      </c>
      <c r="F44" s="18" t="s">
        <v>139</v>
      </c>
      <c r="G44" s="14" t="s">
        <v>141</v>
      </c>
      <c r="H44" s="19">
        <v>0.57999999999999996</v>
      </c>
      <c r="I44" s="23">
        <v>1</v>
      </c>
    </row>
    <row r="45" spans="2:9" s="5" customFormat="1" ht="30" customHeight="1" thickBot="1">
      <c r="B45" s="33"/>
      <c r="C45" s="28"/>
      <c r="D45" s="28"/>
      <c r="E45" s="28"/>
      <c r="F45" s="28"/>
      <c r="G45" s="28"/>
      <c r="H45" s="34">
        <f>SUM(H12:H44)</f>
        <v>63.566820000000028</v>
      </c>
      <c r="I45" s="44">
        <f>SUM(I12:I44)</f>
        <v>57</v>
      </c>
    </row>
    <row r="46" spans="2:9">
      <c r="B46" s="45" t="s">
        <v>142</v>
      </c>
      <c r="C46" s="26"/>
      <c r="D46" s="25"/>
      <c r="E46" s="27"/>
      <c r="F46" s="27"/>
      <c r="G46" s="35"/>
      <c r="H46" s="36"/>
      <c r="I46" s="7"/>
    </row>
    <row r="47" spans="2:9">
      <c r="B47" s="37"/>
      <c r="C47" s="29"/>
      <c r="D47" s="30"/>
      <c r="E47" s="32"/>
      <c r="F47" s="32"/>
      <c r="G47" s="38"/>
      <c r="H47" s="39"/>
      <c r="I47" s="8"/>
    </row>
    <row r="48" spans="2:9">
      <c r="B48" s="37" t="s">
        <v>150</v>
      </c>
      <c r="C48" s="29">
        <v>46136</v>
      </c>
      <c r="D48" s="30" t="s">
        <v>146</v>
      </c>
      <c r="E48" s="32" t="s">
        <v>147</v>
      </c>
      <c r="F48" s="32"/>
      <c r="G48" s="38"/>
      <c r="H48" s="38"/>
      <c r="I48" s="8"/>
    </row>
    <row r="49" spans="2:9">
      <c r="B49" s="40"/>
      <c r="C49" s="41"/>
      <c r="D49" s="41"/>
      <c r="E49" s="31" t="s">
        <v>148</v>
      </c>
      <c r="F49" s="31"/>
      <c r="G49" s="38"/>
      <c r="H49" s="38"/>
      <c r="I49" s="8"/>
    </row>
    <row r="50" spans="2:9" ht="15" thickBot="1">
      <c r="B50" s="42"/>
      <c r="C50" s="11"/>
      <c r="D50" s="11"/>
      <c r="E50" s="43" t="s">
        <v>149</v>
      </c>
      <c r="F50" s="43"/>
      <c r="G50" s="11"/>
      <c r="H50" s="11"/>
      <c r="I50" s="9"/>
    </row>
  </sheetData>
  <mergeCells count="3">
    <mergeCell ref="E46:F46"/>
    <mergeCell ref="E48:F48"/>
    <mergeCell ref="E47:F47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RAFFAELE STROCCHIA</cp:lastModifiedBy>
  <dcterms:modified xsi:type="dcterms:W3CDTF">2026-04-25T09:45:33Z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2026-04-24T17:22:45Z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54160c4f-27c8-42c7-bcb9-3ff2605c1125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